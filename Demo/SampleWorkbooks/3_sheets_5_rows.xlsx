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dev\avalonia\Spreadalonia-ndp\Demo\SampleWorkbooks\"/>
    </mc:Choice>
  </mc:AlternateContent>
  <bookViews>
    <workbookView xWindow="0" yWindow="0" windowWidth="28800" windowHeight="10995"/>
  </bookViews>
  <sheets>
    <sheet name="Sales Data" sheetId="1" r:id="rId1"/>
    <sheet name="Inventory" sheetId="2" r:id="rId2"/>
    <sheet name="Summary" sheetId="3" r:id="rId3"/>
  </sheets>
  <calcPr calcId="162913"/>
</workbook>
</file>

<file path=xl/calcChain.xml><?xml version="1.0" encoding="utf-8"?>
<calcChain xmlns="http://schemas.openxmlformats.org/spreadsheetml/2006/main">
  <c r="G8" i="1" l="1"/>
  <c r="F8" i="1"/>
  <c r="E8" i="1"/>
  <c r="G4" i="1" l="1"/>
  <c r="G6" i="1"/>
  <c r="G5" i="1"/>
  <c r="C11" i="3" l="1"/>
  <c r="B7" i="3"/>
  <c r="C10" i="2"/>
  <c r="E7" i="2"/>
  <c r="E6" i="2"/>
  <c r="E5" i="2"/>
  <c r="E4" i="2"/>
  <c r="E3" i="2"/>
  <c r="B5" i="3"/>
  <c r="B4" i="3"/>
  <c r="G3" i="1"/>
  <c r="C12" i="3" s="1"/>
  <c r="G2" i="1"/>
  <c r="B3" i="3" l="1"/>
  <c r="C13" i="3"/>
</calcChain>
</file>

<file path=xl/sharedStrings.xml><?xml version="1.0" encoding="utf-8"?>
<sst xmlns="http://schemas.openxmlformats.org/spreadsheetml/2006/main" count="46" uniqueCount="35">
  <si>
    <t>West</t>
  </si>
  <si>
    <t>Carlos</t>
  </si>
  <si>
    <t>Widget A</t>
  </si>
  <si>
    <t>South</t>
  </si>
  <si>
    <t>Bianca</t>
  </si>
  <si>
    <t>Widget B</t>
  </si>
  <si>
    <t>Gadget Y</t>
  </si>
  <si>
    <t>Alex</t>
  </si>
  <si>
    <t>Gadget X</t>
  </si>
  <si>
    <t>Totals/Averages</t>
  </si>
  <si>
    <t>Current Inventory</t>
  </si>
  <si>
    <t>Item</t>
  </si>
  <si>
    <t>SKU</t>
  </si>
  <si>
    <t>Stock Level</t>
  </si>
  <si>
    <t>Reorder Level</t>
  </si>
  <si>
    <t>Status</t>
  </si>
  <si>
    <t>SKU-1000</t>
  </si>
  <si>
    <t>SKU-1001</t>
  </si>
  <si>
    <t>SKU-1002</t>
  </si>
  <si>
    <t>SKU-1003</t>
  </si>
  <si>
    <t>Spare Part Z</t>
  </si>
  <si>
    <t>SKU-1004</t>
  </si>
  <si>
    <t>Lookup example:</t>
  </si>
  <si>
    <t>Sales &amp; Inventory Summary</t>
  </si>
  <si>
    <t>Total Sales</t>
  </si>
  <si>
    <t>Total Units Sold</t>
  </si>
  <si>
    <t>Average Unit Price</t>
  </si>
  <si>
    <t>Low Stock Items (example)</t>
  </si>
  <si>
    <t>Top 3 Representatives (by sales) - sample</t>
  </si>
  <si>
    <t>1.</t>
  </si>
  <si>
    <t>2.</t>
  </si>
  <si>
    <t>3.</t>
  </si>
  <si>
    <t>Diana</t>
  </si>
  <si>
    <t>North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</si>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</sst>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B6C1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0" fillId="3" borderId="1" xfId="0" applyNumberFormat="1" applyFill="1" applyBorder="1"/>
    <xf numFmtId="0" fontId="0" fillId="3" borderId="1" xfId="0" applyFill="1" applyBorder="1"/>
    <xf numFmtId="165" fontId="0" fillId="3" borderId="1" xfId="0" applyNumberForma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0" fontId="0" fillId="4" borderId="1" xfId="0" applyFill="1" applyBorder="1"/>
    <xf numFmtId="0" fontId="2" fillId="0" borderId="0" xfId="0" applyFont="1" applyAlignment="1">
      <alignment vertical="center"/>
    </xf>
    <xf numFmtId="165" fontId="0" fillId="0" borderId="0" xfId="0" applyNumberFormat="1"/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2" fillId="5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/>
  </sheetViews>
  <sheetFormatPr defaultRowHeight="15" x14ac:dyDescent="0.25"/>
  <cols>
    <col min="1" max="7" width="15" customWidth="1"/>
  </cols>
  <sheetData>
    <row r="1" spans="1:7" s="15" customFormat="1" x14ac:dyDescent="0.25"/>
    <row r="2" spans="1:7" x14ac:dyDescent="0.25">
      <c r="A2" s="2">
        <v>45734</v>
      </c>
      <c r="B2" s="3" t="s">
        <v>0</v>
      </c>
      <c r="C2" s="3" t="s">
        <v>1</v>
      </c>
      <c r="D2" s="3" t="s">
        <v>2</v>
      </c>
      <c r="E2" s="3">
        <v>127</v>
      </c>
      <c r="F2" s="4">
        <v>45.73</v>
      </c>
      <c r="G2" s="4">
        <f t="shared" ref="G2:G6" si="0">E2*F2</f>
        <v>5807.71</v>
      </c>
    </row>
    <row r="3" spans="1:7" x14ac:dyDescent="0.25">
      <c r="A3" s="5">
        <v>45688</v>
      </c>
      <c r="B3" s="6" t="s">
        <v>3</v>
      </c>
      <c r="C3" s="6" t="s">
        <v>4</v>
      </c>
      <c r="D3" s="6" t="s">
        <v>5</v>
      </c>
      <c r="E3" s="6">
        <v>89</v>
      </c>
      <c r="F3" s="7">
        <v>45.41</v>
      </c>
      <c r="G3" s="7">
        <f t="shared" si="0"/>
        <v>4041.49</v>
      </c>
    </row>
    <row r="4" spans="1:7" s="14" customFormat="1" x14ac:dyDescent="0.25">
      <c r="A4" s="2">
        <v>45711</v>
      </c>
      <c r="B4" s="3" t="s">
        <v>3</v>
      </c>
      <c r="C4" s="3" t="s">
        <v>32</v>
      </c>
      <c r="D4" s="3" t="s">
        <v>6</v>
      </c>
      <c r="E4" s="3">
        <v>165</v>
      </c>
      <c r="F4" s="4">
        <v>40.29</v>
      </c>
      <c r="G4" s="4">
        <f t="shared" si="0"/>
        <v>6647.8499999999995</v>
      </c>
    </row>
    <row r="5" spans="1:7" s="14" customFormat="1" x14ac:dyDescent="0.25">
      <c r="A5" s="5">
        <v>45698</v>
      </c>
      <c r="B5" s="6" t="s">
        <v>33</v>
      </c>
      <c r="C5" s="6" t="s">
        <v>1</v>
      </c>
      <c r="D5" s="6" t="s">
        <v>6</v>
      </c>
      <c r="E5" s="6">
        <v>27</v>
      </c>
      <c r="F5" s="7">
        <v>12.57</v>
      </c>
      <c r="G5" s="7">
        <f t="shared" si="0"/>
        <v>339.39</v>
      </c>
    </row>
    <row r="6" spans="1:7" s="14" customFormat="1" x14ac:dyDescent="0.25">
      <c r="A6" s="2">
        <v>45776</v>
      </c>
      <c r="B6" s="3" t="s">
        <v>34</v>
      </c>
      <c r="C6" s="3" t="s">
        <v>32</v>
      </c>
      <c r="D6" s="3" t="s">
        <v>6</v>
      </c>
      <c r="E6" s="3">
        <v>197</v>
      </c>
      <c r="F6" s="4">
        <v>62.85</v>
      </c>
      <c r="G6" s="4">
        <f t="shared" si="0"/>
        <v>12381.45</v>
      </c>
    </row>
    <row r="8" spans="1:7" x14ac:dyDescent="0.25">
      <c r="D8" s="8" t="s">
        <v>9</v>
      </c>
      <c r="E8" s="9">
        <f>SUM(E1:E7)</f>
        <v>605</v>
      </c>
      <c r="F8" s="10">
        <f>AVERAGE(F1:F7)</f>
        <v>41.36999999999999</v>
      </c>
      <c r="G8" s="10">
        <f>SUM(G1:G7)</f>
        <v>29217.89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"/>
    </sheetView>
  </sheetViews>
  <sheetFormatPr defaultRowHeight="15" x14ac:dyDescent="0.25"/>
  <cols>
    <col min="1" max="5" width="18" customWidth="1"/>
  </cols>
  <sheetData>
    <row r="1" spans="1:5" ht="18.75" x14ac:dyDescent="0.25">
      <c r="A1" s="16" t="s">
        <v>10</v>
      </c>
      <c r="B1" s="17"/>
      <c r="C1" s="17"/>
      <c r="D1" s="17"/>
      <c r="E1" s="17"/>
    </row>
    <row r="2" spans="1:5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</row>
    <row r="3" spans="1:5" x14ac:dyDescent="0.25">
      <c r="A3" s="6" t="s">
        <v>2</v>
      </c>
      <c r="B3" s="6" t="s">
        <v>16</v>
      </c>
      <c r="C3" s="6">
        <v>193</v>
      </c>
      <c r="D3" s="6">
        <v>27</v>
      </c>
      <c r="E3" s="6" t="str">
        <f>IF(C3&lt;=D3,"Reorder","OK")</f>
        <v>OK</v>
      </c>
    </row>
    <row r="4" spans="1:5" x14ac:dyDescent="0.25">
      <c r="A4" s="6" t="s">
        <v>5</v>
      </c>
      <c r="B4" s="6" t="s">
        <v>17</v>
      </c>
      <c r="C4" s="6">
        <v>492</v>
      </c>
      <c r="D4" s="6">
        <v>31</v>
      </c>
      <c r="E4" s="6" t="str">
        <f>IF(C4&lt;=D4,"Reorder","OK")</f>
        <v>OK</v>
      </c>
    </row>
    <row r="5" spans="1:5" x14ac:dyDescent="0.25">
      <c r="A5" s="11" t="s">
        <v>8</v>
      </c>
      <c r="B5" s="11" t="s">
        <v>18</v>
      </c>
      <c r="C5" s="11">
        <v>43</v>
      </c>
      <c r="D5" s="11">
        <v>78</v>
      </c>
      <c r="E5" s="11" t="str">
        <f>IF(C5&lt;=D5,"Reorder","OK")</f>
        <v>Reorder</v>
      </c>
    </row>
    <row r="6" spans="1:5" x14ac:dyDescent="0.25">
      <c r="A6" s="6" t="s">
        <v>6</v>
      </c>
      <c r="B6" s="6" t="s">
        <v>19</v>
      </c>
      <c r="C6" s="6">
        <v>435</v>
      </c>
      <c r="D6" s="6">
        <v>95</v>
      </c>
      <c r="E6" s="6" t="str">
        <f>IF(C6&lt;=D6,"Reorder","OK")</f>
        <v>OK</v>
      </c>
    </row>
    <row r="7" spans="1:5" x14ac:dyDescent="0.25">
      <c r="A7" s="6" t="s">
        <v>20</v>
      </c>
      <c r="B7" s="6" t="s">
        <v>21</v>
      </c>
      <c r="C7" s="6">
        <v>224</v>
      </c>
      <c r="D7" s="6">
        <v>69</v>
      </c>
      <c r="E7" s="6" t="str">
        <f>IF(C7&lt;=D7,"Reorder","OK")</f>
        <v>OK</v>
      </c>
    </row>
    <row r="10" spans="1:5" x14ac:dyDescent="0.25">
      <c r="A10" t="s">
        <v>22</v>
      </c>
      <c r="B10" t="s">
        <v>18</v>
      </c>
      <c r="C10" s="6">
        <f>VLOOKUP(B10,B3:E8,3,FALSE)</f>
        <v>78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5" x14ac:dyDescent="0.25"/>
  <cols>
    <col min="1" max="4" width="20" customWidth="1"/>
  </cols>
  <sheetData>
    <row r="1" spans="1:4" ht="21" x14ac:dyDescent="0.25">
      <c r="A1" s="18" t="s">
        <v>23</v>
      </c>
      <c r="B1" s="17"/>
      <c r="C1" s="17"/>
      <c r="D1" s="17"/>
    </row>
    <row r="3" spans="1:4" x14ac:dyDescent="0.25">
      <c r="A3" s="12" t="s">
        <v>24</v>
      </c>
      <c r="B3" s="13">
        <f>'Sales Data'!G8</f>
        <v>29217.89</v>
      </c>
    </row>
    <row r="4" spans="1:4" x14ac:dyDescent="0.25">
      <c r="A4" s="12" t="s">
        <v>25</v>
      </c>
      <c r="B4">
        <f>'Sales Data'!E8</f>
        <v>605</v>
      </c>
    </row>
    <row r="5" spans="1:4" x14ac:dyDescent="0.25">
      <c r="A5" s="12" t="s">
        <v>26</v>
      </c>
      <c r="B5">
        <f>'Sales Data'!F8</f>
        <v>41.36999999999999</v>
      </c>
    </row>
    <row r="7" spans="1:4" x14ac:dyDescent="0.25">
      <c r="A7" s="12" t="s">
        <v>27</v>
      </c>
      <c r="B7">
        <f>COUNTIF(Inventory!E3:E8,"Reorder")</f>
        <v>1</v>
      </c>
    </row>
    <row r="10" spans="1:4" x14ac:dyDescent="0.25">
      <c r="A10" s="19" t="s">
        <v>28</v>
      </c>
      <c r="B10" s="17"/>
      <c r="C10" s="17"/>
      <c r="D10" s="17"/>
    </row>
    <row r="11" spans="1:4" x14ac:dyDescent="0.25">
      <c r="A11" t="s">
        <v>29</v>
      </c>
      <c r="B11" t="s">
        <v>7</v>
      </c>
      <c r="C11" s="13">
        <f>SUMIFS('Sales Data'!G2:G3,'Sales Data'!C2:C3,B11)</f>
        <v>0</v>
      </c>
    </row>
    <row r="12" spans="1:4" x14ac:dyDescent="0.25">
      <c r="A12" t="s">
        <v>30</v>
      </c>
      <c r="B12" t="s">
        <v>4</v>
      </c>
      <c r="C12" s="13">
        <f>SUMIFS('Sales Data'!G2:G3,'Sales Data'!C2:C3,B12)</f>
        <v>4041.49</v>
      </c>
    </row>
    <row r="13" spans="1:4" x14ac:dyDescent="0.25">
      <c r="A13" t="s">
        <v>31</v>
      </c>
      <c r="B13" t="s">
        <v>1</v>
      </c>
      <c r="C13" s="13">
        <f>SUMIFS('Sales Data'!G2:G3,'Sales Data'!C2:C3,B13)</f>
        <v>5807.71</v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Sales Data</vt:lpstr>
      <vt:lpstr>Inventory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Workbook with multiple sheets</dc:title>
  <dc:creator>ChatGPT Sample Generator</dc:creator>
  <cp:lastModifiedBy>user</cp:lastModifiedBy>
  <dcterms:created xsi:type="dcterms:W3CDTF">2025-10-04T16:50:14Z</dcterms:created>
  <dcterms:modified xsi:type="dcterms:W3CDTF">2025-11-06T08:33:23Z</dcterms:modified>
</cp:coreProperties>
</file>