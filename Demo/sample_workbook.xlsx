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5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165" fontId="2" fillId="0" borderId="1" pivotButton="0" quotePrefix="0" xfId="0"/>
    <xf numFmtId="0" fontId="0" fillId="4" borderId="1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0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Quarterly Sales Data</t>
        </is>
      </c>
    </row>
    <row r="2">
      <c r="A2" s="2" t="inlineStr">
        <is>
          <t>Date</t>
        </is>
      </c>
      <c r="B2" s="2" t="inlineStr">
        <is>
          <t>Region</t>
        </is>
      </c>
      <c r="C2" s="2" t="inlineStr">
        <is>
          <t>Representative</t>
        </is>
      </c>
      <c r="D2" s="2" t="inlineStr">
        <is>
          <t>Product</t>
        </is>
      </c>
      <c r="E2" s="2" t="inlineStr">
        <is>
          <t>Units Sold</t>
        </is>
      </c>
      <c r="F2" s="2" t="inlineStr">
        <is>
          <t>Unit Price</t>
        </is>
      </c>
      <c r="G2" s="2" t="inlineStr">
        <is>
          <t>Total</t>
        </is>
      </c>
    </row>
    <row r="3">
      <c r="A3" s="3" t="n">
        <v>45734</v>
      </c>
      <c r="B3" s="4" t="inlineStr">
        <is>
          <t>West</t>
        </is>
      </c>
      <c r="C3" s="4" t="inlineStr">
        <is>
          <t>Carlos</t>
        </is>
      </c>
      <c r="D3" s="4" t="inlineStr">
        <is>
          <t>Widget A</t>
        </is>
      </c>
      <c r="E3" s="4" t="n">
        <v>127</v>
      </c>
      <c r="F3" s="5" t="n">
        <v>45.73</v>
      </c>
      <c r="G3" s="5">
        <f>E3*F3</f>
        <v/>
      </c>
    </row>
    <row r="4">
      <c r="A4" s="6" t="n">
        <v>45688</v>
      </c>
      <c r="B4" s="7" t="inlineStr">
        <is>
          <t>South</t>
        </is>
      </c>
      <c r="C4" s="7" t="inlineStr">
        <is>
          <t>Bianca</t>
        </is>
      </c>
      <c r="D4" s="7" t="inlineStr">
        <is>
          <t>Widget B</t>
        </is>
      </c>
      <c r="E4" s="7" t="n">
        <v>89</v>
      </c>
      <c r="F4" s="8" t="n">
        <v>45.41</v>
      </c>
      <c r="G4" s="8">
        <f>E4*F4</f>
        <v/>
      </c>
    </row>
    <row r="5">
      <c r="A5" s="3" t="n">
        <v>45711</v>
      </c>
      <c r="B5" s="4" t="inlineStr">
        <is>
          <t>South</t>
        </is>
      </c>
      <c r="C5" s="4" t="inlineStr">
        <is>
          <t>Diana</t>
        </is>
      </c>
      <c r="D5" s="4" t="inlineStr">
        <is>
          <t>Gadget Y</t>
        </is>
      </c>
      <c r="E5" s="4" t="n">
        <v>165</v>
      </c>
      <c r="F5" s="5" t="n">
        <v>40.29</v>
      </c>
      <c r="G5" s="5">
        <f>E5*F5</f>
        <v/>
      </c>
    </row>
    <row r="6">
      <c r="A6" s="6" t="n">
        <v>45698</v>
      </c>
      <c r="B6" s="7" t="inlineStr">
        <is>
          <t>North</t>
        </is>
      </c>
      <c r="C6" s="7" t="inlineStr">
        <is>
          <t>Carlos</t>
        </is>
      </c>
      <c r="D6" s="7" t="inlineStr">
        <is>
          <t>Gadget Y</t>
        </is>
      </c>
      <c r="E6" s="7" t="n">
        <v>27</v>
      </c>
      <c r="F6" s="8" t="n">
        <v>12.57</v>
      </c>
      <c r="G6" s="8">
        <f>E6*F6</f>
        <v/>
      </c>
    </row>
    <row r="7">
      <c r="A7" s="3" t="n">
        <v>45776</v>
      </c>
      <c r="B7" s="4" t="inlineStr">
        <is>
          <t>East</t>
        </is>
      </c>
      <c r="C7" s="4" t="inlineStr">
        <is>
          <t>Diana</t>
        </is>
      </c>
      <c r="D7" s="4" t="inlineStr">
        <is>
          <t>Gadget Y</t>
        </is>
      </c>
      <c r="E7" s="4" t="n">
        <v>197</v>
      </c>
      <c r="F7" s="5" t="n">
        <v>62.85</v>
      </c>
      <c r="G7" s="5">
        <f>E7*F7</f>
        <v/>
      </c>
    </row>
    <row r="8">
      <c r="A8" s="6" t="n">
        <v>45759</v>
      </c>
      <c r="B8" s="7" t="inlineStr">
        <is>
          <t>West</t>
        </is>
      </c>
      <c r="C8" s="7" t="inlineStr">
        <is>
          <t>Alex</t>
        </is>
      </c>
      <c r="D8" s="7" t="inlineStr">
        <is>
          <t>Gadget Y</t>
        </is>
      </c>
      <c r="E8" s="7" t="n">
        <v>190</v>
      </c>
      <c r="F8" s="8" t="n">
        <v>99.64</v>
      </c>
      <c r="G8" s="8">
        <f>E8*F8</f>
        <v/>
      </c>
    </row>
    <row r="9">
      <c r="A9" s="3" t="n">
        <v>45676</v>
      </c>
      <c r="B9" s="4" t="inlineStr">
        <is>
          <t>West</t>
        </is>
      </c>
      <c r="C9" s="4" t="inlineStr">
        <is>
          <t>Alex</t>
        </is>
      </c>
      <c r="D9" s="4" t="inlineStr">
        <is>
          <t>Gadget Y</t>
        </is>
      </c>
      <c r="E9" s="4" t="n">
        <v>33</v>
      </c>
      <c r="F9" s="5" t="n">
        <v>11.87</v>
      </c>
      <c r="G9" s="5">
        <f>E9*F9</f>
        <v/>
      </c>
    </row>
    <row r="10">
      <c r="A10" s="6" t="n">
        <v>45768</v>
      </c>
      <c r="B10" s="7" t="inlineStr">
        <is>
          <t>South</t>
        </is>
      </c>
      <c r="C10" s="7" t="inlineStr">
        <is>
          <t>Diana</t>
        </is>
      </c>
      <c r="D10" s="7" t="inlineStr">
        <is>
          <t>Gadget X</t>
        </is>
      </c>
      <c r="E10" s="7" t="n">
        <v>195</v>
      </c>
      <c r="F10" s="8" t="n">
        <v>112.33</v>
      </c>
      <c r="G10" s="8">
        <f>E10*F10</f>
        <v/>
      </c>
    </row>
    <row r="11">
      <c r="A11" s="3" t="n">
        <v>45692</v>
      </c>
      <c r="B11" s="4" t="inlineStr">
        <is>
          <t>West</t>
        </is>
      </c>
      <c r="C11" s="4" t="inlineStr">
        <is>
          <t>Bianca</t>
        </is>
      </c>
      <c r="D11" s="4" t="inlineStr">
        <is>
          <t>Widget A</t>
        </is>
      </c>
      <c r="E11" s="4" t="n">
        <v>24</v>
      </c>
      <c r="F11" s="5" t="n">
        <v>104.07</v>
      </c>
      <c r="G11" s="5">
        <f>E11*F11</f>
        <v/>
      </c>
    </row>
    <row r="12">
      <c r="A12" s="6" t="n">
        <v>45696</v>
      </c>
      <c r="B12" s="7" t="inlineStr">
        <is>
          <t>South</t>
        </is>
      </c>
      <c r="C12" s="7" t="inlineStr">
        <is>
          <t>Diana</t>
        </is>
      </c>
      <c r="D12" s="7" t="inlineStr">
        <is>
          <t>Gadget Y</t>
        </is>
      </c>
      <c r="E12" s="7" t="n">
        <v>41</v>
      </c>
      <c r="F12" s="8" t="n">
        <v>119.45</v>
      </c>
      <c r="G12" s="8">
        <f>E12*F12</f>
        <v/>
      </c>
    </row>
    <row r="13">
      <c r="A13" s="3" t="n">
        <v>45764</v>
      </c>
      <c r="B13" s="4" t="inlineStr">
        <is>
          <t>West</t>
        </is>
      </c>
      <c r="C13" s="4" t="inlineStr">
        <is>
          <t>Carlos</t>
        </is>
      </c>
      <c r="D13" s="4" t="inlineStr">
        <is>
          <t>Gadget Y</t>
        </is>
      </c>
      <c r="E13" s="4" t="n">
        <v>118</v>
      </c>
      <c r="F13" s="5" t="n">
        <v>29.13</v>
      </c>
      <c r="G13" s="5">
        <f>E13*F13</f>
        <v/>
      </c>
    </row>
    <row r="14">
      <c r="A14" s="6" t="n">
        <v>45753</v>
      </c>
      <c r="B14" s="7" t="inlineStr">
        <is>
          <t>North</t>
        </is>
      </c>
      <c r="C14" s="7" t="inlineStr">
        <is>
          <t>Carlos</t>
        </is>
      </c>
      <c r="D14" s="7" t="inlineStr">
        <is>
          <t>Widget B</t>
        </is>
      </c>
      <c r="E14" s="7" t="n">
        <v>93</v>
      </c>
      <c r="F14" s="8" t="n">
        <v>109.82</v>
      </c>
      <c r="G14" s="8">
        <f>E14*F14</f>
        <v/>
      </c>
    </row>
    <row r="15">
      <c r="A15" s="3" t="n">
        <v>45709</v>
      </c>
      <c r="B15" s="4" t="inlineStr">
        <is>
          <t>West</t>
        </is>
      </c>
      <c r="C15" s="4" t="inlineStr">
        <is>
          <t>Diana</t>
        </is>
      </c>
      <c r="D15" s="4" t="inlineStr">
        <is>
          <t>Widget B</t>
        </is>
      </c>
      <c r="E15" s="4" t="n">
        <v>54</v>
      </c>
      <c r="F15" s="5" t="n">
        <v>52.2</v>
      </c>
      <c r="G15" s="5">
        <f>E15*F15</f>
        <v/>
      </c>
    </row>
    <row r="16">
      <c r="A16" s="6" t="n">
        <v>45666</v>
      </c>
      <c r="B16" s="7" t="inlineStr">
        <is>
          <t>South</t>
        </is>
      </c>
      <c r="C16" s="7" t="inlineStr">
        <is>
          <t>Diana</t>
        </is>
      </c>
      <c r="D16" s="7" t="inlineStr">
        <is>
          <t>Widget A</t>
        </is>
      </c>
      <c r="E16" s="7" t="n">
        <v>149</v>
      </c>
      <c r="F16" s="8" t="n">
        <v>84.72</v>
      </c>
      <c r="G16" s="8">
        <f>E16*F16</f>
        <v/>
      </c>
    </row>
    <row r="17">
      <c r="A17" s="3" t="n">
        <v>45670</v>
      </c>
      <c r="B17" s="4" t="inlineStr">
        <is>
          <t>South</t>
        </is>
      </c>
      <c r="C17" s="4" t="inlineStr">
        <is>
          <t>Diana</t>
        </is>
      </c>
      <c r="D17" s="4" t="inlineStr">
        <is>
          <t>Gadget X</t>
        </is>
      </c>
      <c r="E17" s="4" t="n">
        <v>198</v>
      </c>
      <c r="F17" s="5" t="n">
        <v>95.3</v>
      </c>
      <c r="G17" s="5">
        <f>E17*F17</f>
        <v/>
      </c>
    </row>
    <row r="18">
      <c r="A18" s="6" t="n">
        <v>45761</v>
      </c>
      <c r="B18" s="7" t="inlineStr">
        <is>
          <t>West</t>
        </is>
      </c>
      <c r="C18" s="7" t="inlineStr">
        <is>
          <t>Carlos</t>
        </is>
      </c>
      <c r="D18" s="7" t="inlineStr">
        <is>
          <t>Widget B</t>
        </is>
      </c>
      <c r="E18" s="7" t="n">
        <v>148</v>
      </c>
      <c r="F18" s="8" t="n">
        <v>52.31</v>
      </c>
      <c r="G18" s="8">
        <f>E18*F18</f>
        <v/>
      </c>
    </row>
    <row r="19">
      <c r="A19" s="3" t="n">
        <v>45688</v>
      </c>
      <c r="B19" s="4" t="inlineStr">
        <is>
          <t>East</t>
        </is>
      </c>
      <c r="C19" s="4" t="inlineStr">
        <is>
          <t>Evan</t>
        </is>
      </c>
      <c r="D19" s="4" t="inlineStr">
        <is>
          <t>Gadget X</t>
        </is>
      </c>
      <c r="E19" s="4" t="n">
        <v>133</v>
      </c>
      <c r="F19" s="5" t="n">
        <v>6.78</v>
      </c>
      <c r="G19" s="5">
        <f>E19*F19</f>
        <v/>
      </c>
    </row>
    <row r="20">
      <c r="A20" s="6" t="n">
        <v>45672</v>
      </c>
      <c r="B20" s="7" t="inlineStr">
        <is>
          <t>West</t>
        </is>
      </c>
      <c r="C20" s="7" t="inlineStr">
        <is>
          <t>Carlos</t>
        </is>
      </c>
      <c r="D20" s="7" t="inlineStr">
        <is>
          <t>Widget B</t>
        </is>
      </c>
      <c r="E20" s="7" t="n">
        <v>62</v>
      </c>
      <c r="F20" s="8" t="n">
        <v>16.64</v>
      </c>
      <c r="G20" s="8">
        <f>E20*F20</f>
        <v/>
      </c>
    </row>
    <row r="21">
      <c r="A21" s="3" t="n">
        <v>45748</v>
      </c>
      <c r="B21" s="4" t="inlineStr">
        <is>
          <t>East</t>
        </is>
      </c>
      <c r="C21" s="4" t="inlineStr">
        <is>
          <t>Diana</t>
        </is>
      </c>
      <c r="D21" s="4" t="inlineStr">
        <is>
          <t>Widget B</t>
        </is>
      </c>
      <c r="E21" s="4" t="n">
        <v>17</v>
      </c>
      <c r="F21" s="5" t="n">
        <v>56.22</v>
      </c>
      <c r="G21" s="5">
        <f>E21*F21</f>
        <v/>
      </c>
    </row>
    <row r="22">
      <c r="A22" s="6" t="n">
        <v>45727</v>
      </c>
      <c r="B22" s="7" t="inlineStr">
        <is>
          <t>East</t>
        </is>
      </c>
      <c r="C22" s="7" t="inlineStr">
        <is>
          <t>Carlos</t>
        </is>
      </c>
      <c r="D22" s="7" t="inlineStr">
        <is>
          <t>Widget A</t>
        </is>
      </c>
      <c r="E22" s="7" t="n">
        <v>165</v>
      </c>
      <c r="F22" s="8" t="n">
        <v>48.03</v>
      </c>
      <c r="G22" s="8">
        <f>E22*F22</f>
        <v/>
      </c>
    </row>
    <row r="23">
      <c r="A23" s="3" t="n">
        <v>45739</v>
      </c>
      <c r="B23" s="4" t="inlineStr">
        <is>
          <t>East</t>
        </is>
      </c>
      <c r="C23" s="4" t="inlineStr">
        <is>
          <t>Bianca</t>
        </is>
      </c>
      <c r="D23" s="4" t="inlineStr">
        <is>
          <t>Gadget Y</t>
        </is>
      </c>
      <c r="E23" s="4" t="n">
        <v>157</v>
      </c>
      <c r="F23" s="5" t="n">
        <v>97.78</v>
      </c>
      <c r="G23" s="5">
        <f>E23*F23</f>
        <v/>
      </c>
    </row>
    <row r="24">
      <c r="A24" s="6" t="n">
        <v>45720</v>
      </c>
      <c r="B24" s="7" t="inlineStr">
        <is>
          <t>West</t>
        </is>
      </c>
      <c r="C24" s="7" t="inlineStr">
        <is>
          <t>Diana</t>
        </is>
      </c>
      <c r="D24" s="7" t="inlineStr">
        <is>
          <t>Gadget Y</t>
        </is>
      </c>
      <c r="E24" s="7" t="n">
        <v>54</v>
      </c>
      <c r="F24" s="8" t="n">
        <v>83.15000000000001</v>
      </c>
      <c r="G24" s="8">
        <f>E24*F24</f>
        <v/>
      </c>
    </row>
    <row r="25">
      <c r="A25" s="3" t="n">
        <v>45722</v>
      </c>
      <c r="B25" s="4" t="inlineStr">
        <is>
          <t>West</t>
        </is>
      </c>
      <c r="C25" s="4" t="inlineStr">
        <is>
          <t>Evan</t>
        </is>
      </c>
      <c r="D25" s="4" t="inlineStr">
        <is>
          <t>Widget A</t>
        </is>
      </c>
      <c r="E25" s="4" t="n">
        <v>11</v>
      </c>
      <c r="F25" s="5" t="n">
        <v>54.59</v>
      </c>
      <c r="G25" s="5">
        <f>E25*F25</f>
        <v/>
      </c>
    </row>
    <row r="26">
      <c r="A26" s="6" t="n">
        <v>45768</v>
      </c>
      <c r="B26" s="7" t="inlineStr">
        <is>
          <t>North</t>
        </is>
      </c>
      <c r="C26" s="7" t="inlineStr">
        <is>
          <t>Diana</t>
        </is>
      </c>
      <c r="D26" s="7" t="inlineStr">
        <is>
          <t>Gadget X</t>
        </is>
      </c>
      <c r="E26" s="7" t="n">
        <v>194</v>
      </c>
      <c r="F26" s="8" t="n">
        <v>30.28</v>
      </c>
      <c r="G26" s="8">
        <f>E26*F26</f>
        <v/>
      </c>
    </row>
    <row r="27">
      <c r="A27" s="3" t="n">
        <v>45710</v>
      </c>
      <c r="B27" s="4" t="inlineStr">
        <is>
          <t>North</t>
        </is>
      </c>
      <c r="C27" s="4" t="inlineStr">
        <is>
          <t>Bianca</t>
        </is>
      </c>
      <c r="D27" s="4" t="inlineStr">
        <is>
          <t>Gadget X</t>
        </is>
      </c>
      <c r="E27" s="4" t="n">
        <v>15</v>
      </c>
      <c r="F27" s="5" t="n">
        <v>27.39</v>
      </c>
      <c r="G27" s="5">
        <f>E27*F27</f>
        <v/>
      </c>
    </row>
    <row r="28">
      <c r="A28" s="6" t="n">
        <v>45703</v>
      </c>
      <c r="B28" s="7" t="inlineStr">
        <is>
          <t>East</t>
        </is>
      </c>
      <c r="C28" s="7" t="inlineStr">
        <is>
          <t>Evan</t>
        </is>
      </c>
      <c r="D28" s="7" t="inlineStr">
        <is>
          <t>Gadget X</t>
        </is>
      </c>
      <c r="E28" s="7" t="n">
        <v>2</v>
      </c>
      <c r="F28" s="8" t="n">
        <v>11.35</v>
      </c>
      <c r="G28" s="8">
        <f>E28*F28</f>
        <v/>
      </c>
    </row>
    <row r="29">
      <c r="A29" s="3" t="n">
        <v>45702</v>
      </c>
      <c r="B29" s="4" t="inlineStr">
        <is>
          <t>North</t>
        </is>
      </c>
      <c r="C29" s="4" t="inlineStr">
        <is>
          <t>Carlos</t>
        </is>
      </c>
      <c r="D29" s="4" t="inlineStr">
        <is>
          <t>Gadget Y</t>
        </is>
      </c>
      <c r="E29" s="4" t="n">
        <v>58</v>
      </c>
      <c r="F29" s="5" t="n">
        <v>20.59</v>
      </c>
      <c r="G29" s="5">
        <f>E29*F29</f>
        <v/>
      </c>
    </row>
    <row r="30">
      <c r="A30" s="6" t="n">
        <v>45758</v>
      </c>
      <c r="B30" s="7" t="inlineStr">
        <is>
          <t>South</t>
        </is>
      </c>
      <c r="C30" s="7" t="inlineStr">
        <is>
          <t>Carlos</t>
        </is>
      </c>
      <c r="D30" s="7" t="inlineStr">
        <is>
          <t>Gadget X</t>
        </is>
      </c>
      <c r="E30" s="7" t="n">
        <v>189</v>
      </c>
      <c r="F30" s="8" t="n">
        <v>79.83</v>
      </c>
      <c r="G30" s="8">
        <f>E30*F30</f>
        <v/>
      </c>
    </row>
    <row r="31">
      <c r="A31" s="3" t="n">
        <v>45698</v>
      </c>
      <c r="B31" s="4" t="inlineStr">
        <is>
          <t>East</t>
        </is>
      </c>
      <c r="C31" s="4" t="inlineStr">
        <is>
          <t>Carlos</t>
        </is>
      </c>
      <c r="D31" s="4" t="inlineStr">
        <is>
          <t>Gadget Y</t>
        </is>
      </c>
      <c r="E31" s="4" t="n">
        <v>109</v>
      </c>
      <c r="F31" s="5" t="n">
        <v>66.87</v>
      </c>
      <c r="G31" s="5">
        <f>E31*F31</f>
        <v/>
      </c>
    </row>
    <row r="32">
      <c r="A32" s="6" t="n">
        <v>45748</v>
      </c>
      <c r="B32" s="7" t="inlineStr">
        <is>
          <t>South</t>
        </is>
      </c>
      <c r="C32" s="7" t="inlineStr">
        <is>
          <t>Evan</t>
        </is>
      </c>
      <c r="D32" s="7" t="inlineStr">
        <is>
          <t>Gadget X</t>
        </is>
      </c>
      <c r="E32" s="7" t="n">
        <v>72</v>
      </c>
      <c r="F32" s="8" t="n">
        <v>61.17</v>
      </c>
      <c r="G32" s="8">
        <f>E32*F32</f>
        <v/>
      </c>
    </row>
    <row r="33">
      <c r="A33" s="3" t="n">
        <v>45676</v>
      </c>
      <c r="B33" s="4" t="inlineStr">
        <is>
          <t>North</t>
        </is>
      </c>
      <c r="C33" s="4" t="inlineStr">
        <is>
          <t>Alex</t>
        </is>
      </c>
      <c r="D33" s="4" t="inlineStr">
        <is>
          <t>Widget A</t>
        </is>
      </c>
      <c r="E33" s="4" t="n">
        <v>108</v>
      </c>
      <c r="F33" s="5" t="n">
        <v>44.68</v>
      </c>
      <c r="G33" s="5">
        <f>E33*F33</f>
        <v/>
      </c>
    </row>
    <row r="34">
      <c r="A34" s="6" t="n">
        <v>45772</v>
      </c>
      <c r="B34" s="7" t="inlineStr">
        <is>
          <t>West</t>
        </is>
      </c>
      <c r="C34" s="7" t="inlineStr">
        <is>
          <t>Diana</t>
        </is>
      </c>
      <c r="D34" s="7" t="inlineStr">
        <is>
          <t>Widget B</t>
        </is>
      </c>
      <c r="E34" s="7" t="n">
        <v>38</v>
      </c>
      <c r="F34" s="8" t="n">
        <v>109.84</v>
      </c>
      <c r="G34" s="8">
        <f>E34*F34</f>
        <v/>
      </c>
    </row>
    <row r="35">
      <c r="A35" s="3" t="n">
        <v>45725</v>
      </c>
      <c r="B35" s="4" t="inlineStr">
        <is>
          <t>East</t>
        </is>
      </c>
      <c r="C35" s="4" t="inlineStr">
        <is>
          <t>Alex</t>
        </is>
      </c>
      <c r="D35" s="4" t="inlineStr">
        <is>
          <t>Widget B</t>
        </is>
      </c>
      <c r="E35" s="4" t="n">
        <v>124</v>
      </c>
      <c r="F35" s="5" t="n">
        <v>15.74</v>
      </c>
      <c r="G35" s="5">
        <f>E35*F35</f>
        <v/>
      </c>
    </row>
    <row r="36">
      <c r="A36" s="6" t="n">
        <v>45740</v>
      </c>
      <c r="B36" s="7" t="inlineStr">
        <is>
          <t>East</t>
        </is>
      </c>
      <c r="C36" s="7" t="inlineStr">
        <is>
          <t>Diana</t>
        </is>
      </c>
      <c r="D36" s="7" t="inlineStr">
        <is>
          <t>Widget B</t>
        </is>
      </c>
      <c r="E36" s="7" t="n">
        <v>66</v>
      </c>
      <c r="F36" s="8" t="n">
        <v>93.56999999999999</v>
      </c>
      <c r="G36" s="8">
        <f>E36*F36</f>
        <v/>
      </c>
    </row>
    <row r="37">
      <c r="A37" s="3" t="n">
        <v>45750</v>
      </c>
      <c r="B37" s="4" t="inlineStr">
        <is>
          <t>North</t>
        </is>
      </c>
      <c r="C37" s="4" t="inlineStr">
        <is>
          <t>Alex</t>
        </is>
      </c>
      <c r="D37" s="4" t="inlineStr">
        <is>
          <t>Widget A</t>
        </is>
      </c>
      <c r="E37" s="4" t="n">
        <v>63</v>
      </c>
      <c r="F37" s="5" t="n">
        <v>6.86</v>
      </c>
      <c r="G37" s="5">
        <f>E37*F37</f>
        <v/>
      </c>
    </row>
    <row r="38">
      <c r="A38" s="6" t="n">
        <v>45697</v>
      </c>
      <c r="B38" s="7" t="inlineStr">
        <is>
          <t>South</t>
        </is>
      </c>
      <c r="C38" s="7" t="inlineStr">
        <is>
          <t>Evan</t>
        </is>
      </c>
      <c r="D38" s="7" t="inlineStr">
        <is>
          <t>Widget B</t>
        </is>
      </c>
      <c r="E38" s="7" t="n">
        <v>145</v>
      </c>
      <c r="F38" s="8" t="n">
        <v>63.7</v>
      </c>
      <c r="G38" s="8">
        <f>E38*F38</f>
        <v/>
      </c>
    </row>
    <row r="39">
      <c r="A39" s="3" t="n">
        <v>45743</v>
      </c>
      <c r="B39" s="4" t="inlineStr">
        <is>
          <t>East</t>
        </is>
      </c>
      <c r="C39" s="4" t="inlineStr">
        <is>
          <t>Diana</t>
        </is>
      </c>
      <c r="D39" s="4" t="inlineStr">
        <is>
          <t>Gadget X</t>
        </is>
      </c>
      <c r="E39" s="4" t="n">
        <v>140</v>
      </c>
      <c r="F39" s="5" t="n">
        <v>70.06999999999999</v>
      </c>
      <c r="G39" s="5">
        <f>E39*F39</f>
        <v/>
      </c>
    </row>
    <row r="40">
      <c r="A40" s="6" t="n">
        <v>45660</v>
      </c>
      <c r="B40" s="7" t="inlineStr">
        <is>
          <t>North</t>
        </is>
      </c>
      <c r="C40" s="7" t="inlineStr">
        <is>
          <t>Evan</t>
        </is>
      </c>
      <c r="D40" s="7" t="inlineStr">
        <is>
          <t>Gadget X</t>
        </is>
      </c>
      <c r="E40" s="7" t="n">
        <v>113</v>
      </c>
      <c r="F40" s="8" t="n">
        <v>97.27</v>
      </c>
      <c r="G40" s="8">
        <f>E40*F40</f>
        <v/>
      </c>
    </row>
    <row r="41">
      <c r="A41" s="3" t="n">
        <v>45749</v>
      </c>
      <c r="B41" s="4" t="inlineStr">
        <is>
          <t>South</t>
        </is>
      </c>
      <c r="C41" s="4" t="inlineStr">
        <is>
          <t>Carlos</t>
        </is>
      </c>
      <c r="D41" s="4" t="inlineStr">
        <is>
          <t>Gadget Y</t>
        </is>
      </c>
      <c r="E41" s="4" t="n">
        <v>59</v>
      </c>
      <c r="F41" s="5" t="n">
        <v>23.69</v>
      </c>
      <c r="G41" s="5">
        <f>E41*F41</f>
        <v/>
      </c>
    </row>
    <row r="42">
      <c r="A42" s="6" t="n">
        <v>45771</v>
      </c>
      <c r="B42" s="7" t="inlineStr">
        <is>
          <t>West</t>
        </is>
      </c>
      <c r="C42" s="7" t="inlineStr">
        <is>
          <t>Evan</t>
        </is>
      </c>
      <c r="D42" s="7" t="inlineStr">
        <is>
          <t>Widget B</t>
        </is>
      </c>
      <c r="E42" s="7" t="n">
        <v>118</v>
      </c>
      <c r="F42" s="8" t="n">
        <v>41.12</v>
      </c>
      <c r="G42" s="8">
        <f>E42*F42</f>
        <v/>
      </c>
    </row>
    <row r="43">
      <c r="A43" s="3" t="n">
        <v>45672</v>
      </c>
      <c r="B43" s="4" t="inlineStr">
        <is>
          <t>South</t>
        </is>
      </c>
      <c r="C43" s="4" t="inlineStr">
        <is>
          <t>Bianca</t>
        </is>
      </c>
      <c r="D43" s="4" t="inlineStr">
        <is>
          <t>Widget B</t>
        </is>
      </c>
      <c r="E43" s="4" t="n">
        <v>152</v>
      </c>
      <c r="F43" s="5" t="n">
        <v>34.07</v>
      </c>
      <c r="G43" s="5">
        <f>E43*F43</f>
        <v/>
      </c>
    </row>
    <row r="44">
      <c r="A44" s="6" t="n">
        <v>45706</v>
      </c>
      <c r="B44" s="7" t="inlineStr">
        <is>
          <t>North</t>
        </is>
      </c>
      <c r="C44" s="7" t="inlineStr">
        <is>
          <t>Carlos</t>
        </is>
      </c>
      <c r="D44" s="7" t="inlineStr">
        <is>
          <t>Widget A</t>
        </is>
      </c>
      <c r="E44" s="7" t="n">
        <v>127</v>
      </c>
      <c r="F44" s="8" t="n">
        <v>38.99</v>
      </c>
      <c r="G44" s="8">
        <f>E44*F44</f>
        <v/>
      </c>
    </row>
    <row r="45">
      <c r="A45" s="3" t="n">
        <v>45679</v>
      </c>
      <c r="B45" s="4" t="inlineStr">
        <is>
          <t>North</t>
        </is>
      </c>
      <c r="C45" s="4" t="inlineStr">
        <is>
          <t>Bianca</t>
        </is>
      </c>
      <c r="D45" s="4" t="inlineStr">
        <is>
          <t>Gadget Y</t>
        </is>
      </c>
      <c r="E45" s="4" t="n">
        <v>45</v>
      </c>
      <c r="F45" s="5" t="n">
        <v>58.32</v>
      </c>
      <c r="G45" s="5">
        <f>E45*F45</f>
        <v/>
      </c>
    </row>
    <row r="46">
      <c r="A46" s="6" t="n">
        <v>45744</v>
      </c>
      <c r="B46" s="7" t="inlineStr">
        <is>
          <t>West</t>
        </is>
      </c>
      <c r="C46" s="7" t="inlineStr">
        <is>
          <t>Diana</t>
        </is>
      </c>
      <c r="D46" s="7" t="inlineStr">
        <is>
          <t>Widget A</t>
        </is>
      </c>
      <c r="E46" s="7" t="n">
        <v>139</v>
      </c>
      <c r="F46" s="8" t="n">
        <v>8.23</v>
      </c>
      <c r="G46" s="8">
        <f>E46*F46</f>
        <v/>
      </c>
    </row>
    <row r="47">
      <c r="A47" s="3" t="n">
        <v>45702</v>
      </c>
      <c r="B47" s="4" t="inlineStr">
        <is>
          <t>South</t>
        </is>
      </c>
      <c r="C47" s="4" t="inlineStr">
        <is>
          <t>Evan</t>
        </is>
      </c>
      <c r="D47" s="4" t="inlineStr">
        <is>
          <t>Widget A</t>
        </is>
      </c>
      <c r="E47" s="4" t="n">
        <v>60</v>
      </c>
      <c r="F47" s="5" t="n">
        <v>77.23999999999999</v>
      </c>
      <c r="G47" s="5">
        <f>E47*F47</f>
        <v/>
      </c>
    </row>
    <row r="48">
      <c r="A48" s="6" t="n">
        <v>45722</v>
      </c>
      <c r="B48" s="7" t="inlineStr">
        <is>
          <t>East</t>
        </is>
      </c>
      <c r="C48" s="7" t="inlineStr">
        <is>
          <t>Bianca</t>
        </is>
      </c>
      <c r="D48" s="7" t="inlineStr">
        <is>
          <t>Widget A</t>
        </is>
      </c>
      <c r="E48" s="7" t="n">
        <v>23</v>
      </c>
      <c r="F48" s="8" t="n">
        <v>31.33</v>
      </c>
      <c r="G48" s="8">
        <f>E48*F48</f>
        <v/>
      </c>
    </row>
    <row r="49">
      <c r="A49" s="3" t="n">
        <v>45666</v>
      </c>
      <c r="B49" s="4" t="inlineStr">
        <is>
          <t>West</t>
        </is>
      </c>
      <c r="C49" s="4" t="inlineStr">
        <is>
          <t>Bianca</t>
        </is>
      </c>
      <c r="D49" s="4" t="inlineStr">
        <is>
          <t>Widget B</t>
        </is>
      </c>
      <c r="E49" s="4" t="n">
        <v>74</v>
      </c>
      <c r="F49" s="5" t="n">
        <v>17</v>
      </c>
      <c r="G49" s="5">
        <f>E49*F49</f>
        <v/>
      </c>
    </row>
    <row r="50">
      <c r="A50" s="6" t="n">
        <v>45734</v>
      </c>
      <c r="B50" s="7" t="inlineStr">
        <is>
          <t>South</t>
        </is>
      </c>
      <c r="C50" s="7" t="inlineStr">
        <is>
          <t>Diana</t>
        </is>
      </c>
      <c r="D50" s="7" t="inlineStr">
        <is>
          <t>Gadget Y</t>
        </is>
      </c>
      <c r="E50" s="7" t="n">
        <v>42</v>
      </c>
      <c r="F50" s="8" t="n">
        <v>76.90000000000001</v>
      </c>
      <c r="G50" s="8">
        <f>E50*F50</f>
        <v/>
      </c>
    </row>
    <row r="51">
      <c r="A51" s="3" t="n">
        <v>45666</v>
      </c>
      <c r="B51" s="4" t="inlineStr">
        <is>
          <t>South</t>
        </is>
      </c>
      <c r="C51" s="4" t="inlineStr">
        <is>
          <t>Diana</t>
        </is>
      </c>
      <c r="D51" s="4" t="inlineStr">
        <is>
          <t>Widget B</t>
        </is>
      </c>
      <c r="E51" s="4" t="n">
        <v>2</v>
      </c>
      <c r="F51" s="5" t="n">
        <v>89.42</v>
      </c>
      <c r="G51" s="5">
        <f>E51*F51</f>
        <v/>
      </c>
    </row>
    <row r="52">
      <c r="A52" s="6" t="n">
        <v>45689</v>
      </c>
      <c r="B52" s="7" t="inlineStr">
        <is>
          <t>South</t>
        </is>
      </c>
      <c r="C52" s="7" t="inlineStr">
        <is>
          <t>Diana</t>
        </is>
      </c>
      <c r="D52" s="7" t="inlineStr">
        <is>
          <t>Widget B</t>
        </is>
      </c>
      <c r="E52" s="7" t="n">
        <v>151</v>
      </c>
      <c r="F52" s="8" t="n">
        <v>75.22</v>
      </c>
      <c r="G52" s="8">
        <f>E52*F52</f>
        <v/>
      </c>
    </row>
    <row r="54">
      <c r="D54" s="9" t="inlineStr">
        <is>
          <t>Totals/Averages</t>
        </is>
      </c>
      <c r="E54" s="10">
        <f>SUM(E3:E52)</f>
        <v/>
      </c>
      <c r="F54" s="11">
        <f>AVERAGE(F3:F52)</f>
        <v/>
      </c>
      <c r="G54" s="11">
        <f>SUM(G3:G52)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Current Inventory</t>
        </is>
      </c>
    </row>
    <row r="2">
      <c r="A2" s="2" t="inlineStr">
        <is>
          <t>Item</t>
        </is>
      </c>
      <c r="B2" s="2" t="inlineStr">
        <is>
          <t>SKU</t>
        </is>
      </c>
      <c r="C2" s="2" t="inlineStr">
        <is>
          <t>Stock Level</t>
        </is>
      </c>
      <c r="D2" s="2" t="inlineStr">
        <is>
          <t>Reorder Level</t>
        </is>
      </c>
      <c r="E2" s="2" t="inlineStr">
        <is>
          <t>Status</t>
        </is>
      </c>
    </row>
    <row r="3">
      <c r="A3" s="7" t="inlineStr">
        <is>
          <t>Widget A</t>
        </is>
      </c>
      <c r="B3" s="7" t="inlineStr">
        <is>
          <t>SKU-1000</t>
        </is>
      </c>
      <c r="C3" s="7" t="n">
        <v>193</v>
      </c>
      <c r="D3" s="7" t="n">
        <v>27</v>
      </c>
      <c r="E3" s="7">
        <f>IF(C3&lt;=D3,"Reorder","OK")</f>
        <v/>
      </c>
    </row>
    <row r="4">
      <c r="A4" s="7" t="inlineStr">
        <is>
          <t>Widget B</t>
        </is>
      </c>
      <c r="B4" s="7" t="inlineStr">
        <is>
          <t>SKU-1001</t>
        </is>
      </c>
      <c r="C4" s="7" t="n">
        <v>492</v>
      </c>
      <c r="D4" s="7" t="n">
        <v>31</v>
      </c>
      <c r="E4" s="7">
        <f>IF(C4&lt;=D4,"Reorder","OK")</f>
        <v/>
      </c>
    </row>
    <row r="5">
      <c r="A5" s="12" t="inlineStr">
        <is>
          <t>Gadget X</t>
        </is>
      </c>
      <c r="B5" s="12" t="inlineStr">
        <is>
          <t>SKU-1002</t>
        </is>
      </c>
      <c r="C5" s="12" t="n">
        <v>43</v>
      </c>
      <c r="D5" s="12" t="n">
        <v>78</v>
      </c>
      <c r="E5" s="12">
        <f>IF(C5&lt;=D5,"Reorder","OK")</f>
        <v/>
      </c>
    </row>
    <row r="6">
      <c r="A6" s="7" t="inlineStr">
        <is>
          <t>Gadget Y</t>
        </is>
      </c>
      <c r="B6" s="7" t="inlineStr">
        <is>
          <t>SKU-1003</t>
        </is>
      </c>
      <c r="C6" s="7" t="n">
        <v>435</v>
      </c>
      <c r="D6" s="7" t="n">
        <v>95</v>
      </c>
      <c r="E6" s="7">
        <f>IF(C6&lt;=D6,"Reorder","OK")</f>
        <v/>
      </c>
    </row>
    <row r="7">
      <c r="A7" s="7" t="inlineStr">
        <is>
          <t>Spare Part Z</t>
        </is>
      </c>
      <c r="B7" s="7" t="inlineStr">
        <is>
          <t>SKU-1004</t>
        </is>
      </c>
      <c r="C7" s="7" t="n">
        <v>224</v>
      </c>
      <c r="D7" s="7" t="n">
        <v>69</v>
      </c>
      <c r="E7" s="7">
        <f>IF(C7&lt;=D7,"Reorder","OK")</f>
        <v/>
      </c>
    </row>
    <row r="10">
      <c r="A10" t="inlineStr">
        <is>
          <t>Lookup example:</t>
        </is>
      </c>
      <c r="B10" t="inlineStr">
        <is>
          <t>SKU-1002</t>
        </is>
      </c>
      <c r="C10" s="7">
        <f>VLOOKUP(B10,B3:E8,3,FALSE)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Sales &amp; Inventory Summary</t>
        </is>
      </c>
    </row>
    <row r="3">
      <c r="A3" s="14" t="inlineStr">
        <is>
          <t>Total Sales</t>
        </is>
      </c>
      <c r="B3" s="15">
        <f>'Sales Data'!G54</f>
        <v/>
      </c>
    </row>
    <row r="4">
      <c r="A4" s="14" t="inlineStr">
        <is>
          <t>Total Units Sold</t>
        </is>
      </c>
      <c r="B4">
        <f>'Sales Data'!E54</f>
        <v/>
      </c>
    </row>
    <row r="5">
      <c r="A5" s="14" t="inlineStr">
        <is>
          <t>Average Unit Price</t>
        </is>
      </c>
      <c r="B5">
        <f>'Sales Data'!F54</f>
        <v/>
      </c>
    </row>
    <row r="7">
      <c r="A7" s="14" t="inlineStr">
        <is>
          <t>Low Stock Items (example)</t>
        </is>
      </c>
      <c r="B7">
        <f>COUNTIF(Inventory!E3:E8,"Reorder")</f>
        <v/>
      </c>
    </row>
    <row r="10">
      <c r="A10" s="16" t="inlineStr">
        <is>
          <t>Top 3 Representatives (by sales) - sample</t>
        </is>
      </c>
    </row>
    <row r="11">
      <c r="A11" t="inlineStr">
        <is>
          <t>1.</t>
        </is>
      </c>
      <c r="B11" t="inlineStr">
        <is>
          <t>Alex</t>
        </is>
      </c>
      <c r="C11" s="15">
        <f>SUMIFS('Sales Data'!G3:G52,'Sales Data'!C3:C52,B11)</f>
        <v/>
      </c>
    </row>
    <row r="12">
      <c r="A12" t="inlineStr">
        <is>
          <t>2.</t>
        </is>
      </c>
      <c r="B12" t="inlineStr">
        <is>
          <t>Bianca</t>
        </is>
      </c>
      <c r="C12" s="15">
        <f>SUMIFS('Sales Data'!G3:G52,'Sales Data'!C3:C52,B12)</f>
        <v/>
      </c>
    </row>
    <row r="13">
      <c r="A13" t="inlineStr">
        <is>
          <t>3.</t>
        </is>
      </c>
      <c r="B13" t="inlineStr">
        <is>
          <t>Carlos</t>
        </is>
      </c>
      <c r="C13" s="15">
        <f>SUMIFS('Sales Data'!G3:G52,'Sales Data'!C3:C52,B13)</f>
        <v/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ChatGPT Sample Generator</dc:creator>
  <dc:title xmlns:dc="http://purl.org/dc/elements/1.1/">Sample Workbook with multiple sheets</dc:title>
  <dcterms:created xmlns:dcterms="http://purl.org/dc/terms/" xmlns:xsi="http://www.w3.org/2001/XMLSchema-instance" xsi:type="dcterms:W3CDTF">2025-10-04T16:50:14Z</dcterms:created>
  <dcterms:modified xmlns:dcterms="http://purl.org/dc/terms/" xmlns:xsi="http://www.w3.org/2001/XMLSchema-instance" xsi:type="dcterms:W3CDTF">2025-10-04T16:50:14Z</dcterms:modified>
</cp:coreProperties>
</file>